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rwoodh\LocalDocuments\LMWG_CMLD_Example\"/>
    </mc:Choice>
  </mc:AlternateContent>
  <xr:revisionPtr revIDLastSave="0" documentId="13_ncr:1_{04F85738-D6C5-4AF8-8B8F-9412D26B9034}" xr6:coauthVersionLast="47" xr6:coauthVersionMax="47" xr10:uidLastSave="{00000000-0000-0000-0000-000000000000}"/>
  <bookViews>
    <workbookView xWindow="24360" yWindow="300" windowWidth="21708" windowHeight="109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2" i="1"/>
  <c r="O3" i="1"/>
  <c r="O4" i="1"/>
  <c r="O5" i="1"/>
  <c r="O6" i="1"/>
  <c r="O2" i="1"/>
  <c r="N3" i="1"/>
  <c r="N4" i="1"/>
  <c r="N5" i="1"/>
  <c r="N6" i="1"/>
  <c r="N2" i="1"/>
</calcChain>
</file>

<file path=xl/sharedStrings.xml><?xml version="1.0" encoding="utf-8"?>
<sst xmlns="http://schemas.openxmlformats.org/spreadsheetml/2006/main" count="30" uniqueCount="23">
  <si>
    <t>Bus  Number</t>
  </si>
  <si>
    <t>Bus  Name</t>
  </si>
  <si>
    <t>LoadComp</t>
  </si>
  <si>
    <t>Feeder</t>
  </si>
  <si>
    <t>DER_Model</t>
  </si>
  <si>
    <t>MVA_base</t>
  </si>
  <si>
    <t>Base_kV</t>
  </si>
  <si>
    <t>Id</t>
  </si>
  <si>
    <t xml:space="preserve"> Area Num</t>
  </si>
  <si>
    <t>Zone Num</t>
  </si>
  <si>
    <t>Owner Num</t>
  </si>
  <si>
    <t>Bus Voltage</t>
  </si>
  <si>
    <t>MID230      230.00</t>
  </si>
  <si>
    <t>ATL_MIX</t>
  </si>
  <si>
    <t>FDR_01</t>
  </si>
  <si>
    <t>DOWNTN      230.00</t>
  </si>
  <si>
    <t>ATL_COM</t>
  </si>
  <si>
    <t>EAST230     230.00</t>
  </si>
  <si>
    <t>ATL_RES</t>
  </si>
  <si>
    <t>SUB230      230.00</t>
  </si>
  <si>
    <t>Python to correct</t>
  </si>
  <si>
    <t>TfixLS (New)</t>
  </si>
  <si>
    <t>New Feeder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</si>
</sst>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6"/>
  <sheetViews>
    <sheetView tabSelected="1" workbookViewId="0">
      <selection activeCell="J8" sqref="J8"/>
    </sheetView>
  </sheetViews>
  <sheetFormatPr defaultRowHeight="14.5" x14ac:dyDescent="0.35"/>
  <cols>
    <col min="5" max="5" width="12.7265625" style="1" customWidth="1"/>
    <col min="14" max="14" width="11.81640625" style="1" customWidth="1"/>
    <col min="15" max="15" width="44.269531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s="1" t="s">
        <v>22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1" t="s">
        <v>21</v>
      </c>
      <c r="O1" t="s">
        <v>20</v>
      </c>
    </row>
    <row r="2" spans="1:15" x14ac:dyDescent="0.35">
      <c r="A2">
        <v>153</v>
      </c>
      <c r="B2" t="s">
        <v>12</v>
      </c>
      <c r="C2" t="s">
        <v>13</v>
      </c>
      <c r="D2" t="s">
        <v>14</v>
      </c>
      <c r="E2" s="1" t="str">
        <f>_xlfn.CONCAT(D2,"_",A2,"-",I2)</f>
        <v>FDR_01_153-1</v>
      </c>
      <c r="F2">
        <v>-110</v>
      </c>
      <c r="G2">
        <v>-1</v>
      </c>
      <c r="H2">
        <v>230</v>
      </c>
      <c r="I2">
        <v>1</v>
      </c>
      <c r="J2">
        <v>1</v>
      </c>
      <c r="K2">
        <v>1</v>
      </c>
      <c r="L2">
        <v>1</v>
      </c>
      <c r="M2">
        <v>1.0147999999999999</v>
      </c>
      <c r="N2" s="1">
        <f>1.0325/M2</f>
        <v>1.0174418604651163</v>
      </c>
      <c r="O2" t="str">
        <f>_xlfn.CONCAT("ierr = psspy.change_ldmod_con(ibus=",A2,", id='",I2,"', name='CMLDBLU2', j=8, rdata=",N2,")")</f>
        <v>ierr = psspy.change_ldmod_con(ibus=153, id='1', name='CMLDBLU2', j=8, rdata=1.01744186046512)</v>
      </c>
    </row>
    <row r="3" spans="1:15" x14ac:dyDescent="0.35">
      <c r="A3">
        <v>154</v>
      </c>
      <c r="B3" t="s">
        <v>15</v>
      </c>
      <c r="C3" t="s">
        <v>16</v>
      </c>
      <c r="D3" t="s">
        <v>14</v>
      </c>
      <c r="E3" s="1" t="str">
        <f t="shared" ref="E3:E6" si="0">_xlfn.CONCAT(D3,"_",A3,"-",I3)</f>
        <v>FDR_01_154-1</v>
      </c>
      <c r="F3">
        <v>-110</v>
      </c>
      <c r="G3">
        <v>-1</v>
      </c>
      <c r="H3">
        <v>230</v>
      </c>
      <c r="I3">
        <v>1</v>
      </c>
      <c r="J3">
        <v>2</v>
      </c>
      <c r="K3">
        <v>1</v>
      </c>
      <c r="L3">
        <v>1</v>
      </c>
      <c r="M3">
        <v>0.97460000000000002</v>
      </c>
      <c r="N3" s="1">
        <f t="shared" ref="N3:N6" si="1">1.0325/M3</f>
        <v>1.0594089883028934</v>
      </c>
      <c r="O3" t="str">
        <f t="shared" ref="O3:O6" si="2">_xlfn.CONCAT("ierr = psspy.change_ldmod_con(ibus=",A3,", id='",I3,"', name='CMLDBLU2', j=8, rdata=",N3,")")</f>
        <v>ierr = psspy.change_ldmod_con(ibus=154, id='1', name='CMLDBLU2', j=8, rdata=1.05940898830289)</v>
      </c>
    </row>
    <row r="4" spans="1:15" x14ac:dyDescent="0.35">
      <c r="A4">
        <v>154</v>
      </c>
      <c r="B4" t="s">
        <v>15</v>
      </c>
      <c r="C4" t="s">
        <v>16</v>
      </c>
      <c r="D4" t="s">
        <v>14</v>
      </c>
      <c r="E4" s="1" t="str">
        <f t="shared" si="0"/>
        <v>FDR_01_154-2</v>
      </c>
      <c r="F4">
        <v>-110</v>
      </c>
      <c r="G4">
        <v>-1</v>
      </c>
      <c r="H4">
        <v>230</v>
      </c>
      <c r="I4">
        <v>2</v>
      </c>
      <c r="J4">
        <v>2</v>
      </c>
      <c r="K4">
        <v>1</v>
      </c>
      <c r="L4">
        <v>100</v>
      </c>
      <c r="M4">
        <v>0.97460000000000002</v>
      </c>
      <c r="N4" s="1">
        <f t="shared" si="1"/>
        <v>1.0594089883028934</v>
      </c>
      <c r="O4" t="str">
        <f t="shared" si="2"/>
        <v>ierr = psspy.change_ldmod_con(ibus=154, id='2', name='CMLDBLU2', j=8, rdata=1.05940898830289)</v>
      </c>
    </row>
    <row r="5" spans="1:15" x14ac:dyDescent="0.35">
      <c r="A5">
        <v>203</v>
      </c>
      <c r="B5" t="s">
        <v>17</v>
      </c>
      <c r="C5" t="s">
        <v>18</v>
      </c>
      <c r="D5" t="s">
        <v>14</v>
      </c>
      <c r="E5" s="1" t="str">
        <f t="shared" si="0"/>
        <v>FDR_01_203-1</v>
      </c>
      <c r="F5">
        <v>-110</v>
      </c>
      <c r="G5">
        <v>-1</v>
      </c>
      <c r="H5">
        <v>230</v>
      </c>
      <c r="I5">
        <v>1</v>
      </c>
      <c r="J5">
        <v>2</v>
      </c>
      <c r="K5">
        <v>2</v>
      </c>
      <c r="L5">
        <v>2</v>
      </c>
      <c r="M5">
        <v>0.99319999999999997</v>
      </c>
      <c r="N5" s="1">
        <f t="shared" si="1"/>
        <v>1.0395690696737818</v>
      </c>
      <c r="O5" t="str">
        <f t="shared" si="2"/>
        <v>ierr = psspy.change_ldmod_con(ibus=203, id='1', name='CMLDBLU2', j=8, rdata=1.03956906967378)</v>
      </c>
    </row>
    <row r="6" spans="1:15" x14ac:dyDescent="0.35">
      <c r="A6">
        <v>205</v>
      </c>
      <c r="B6" t="s">
        <v>19</v>
      </c>
      <c r="C6" t="s">
        <v>13</v>
      </c>
      <c r="D6" t="s">
        <v>14</v>
      </c>
      <c r="E6" s="1" t="str">
        <f t="shared" si="0"/>
        <v>FDR_01_205-1</v>
      </c>
      <c r="F6">
        <v>-110</v>
      </c>
      <c r="G6">
        <v>-1</v>
      </c>
      <c r="H6">
        <v>230</v>
      </c>
      <c r="I6">
        <v>1</v>
      </c>
      <c r="J6">
        <v>2</v>
      </c>
      <c r="K6">
        <v>2</v>
      </c>
      <c r="L6">
        <v>2</v>
      </c>
      <c r="M6">
        <v>0.98</v>
      </c>
      <c r="N6" s="1">
        <f t="shared" si="1"/>
        <v>1.0535714285714286</v>
      </c>
      <c r="O6" t="str">
        <f t="shared" si="2"/>
        <v>ierr = psspy.change_ldmod_con(ibus=205, id='1', name='CMLDBLU2', j=8, rdata=1.05357142857143)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ac25473-bb91-4a6f-afab-8ab26c3ec881}" enabled="1" method="Standard" siteId="{a2d34bfa-bd5b-4dc3-9a2e-098f9929677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Harwood</dc:creator>
  <cp:lastModifiedBy>Patrick Harwood</cp:lastModifiedBy>
  <dcterms:created xsi:type="dcterms:W3CDTF">2015-06-05T18:17:20Z</dcterms:created>
  <dcterms:modified xsi:type="dcterms:W3CDTF">2025-10-14T12:39:35Z</dcterms:modified>
</cp:coreProperties>
</file>